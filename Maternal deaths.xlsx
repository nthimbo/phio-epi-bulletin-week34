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thimbogifttembo/Downloads/PHIO/"/>
    </mc:Choice>
  </mc:AlternateContent>
  <xr:revisionPtr revIDLastSave="0" documentId="8_{6F52895B-76F8-2B4C-A572-533806F24D2A}" xr6:coauthVersionLast="47" xr6:coauthVersionMax="47" xr10:uidLastSave="{00000000-0000-0000-0000-000000000000}"/>
  <bookViews>
    <workbookView xWindow="40120" yWindow="3840" windowWidth="26360" windowHeight="15700" activeTab="1" xr2:uid="{9BE291AC-0D5A-4251-9BF9-A1AAF3FBF0B0}"/>
  </bookViews>
  <sheets>
    <sheet name="MD summary" sheetId="1" r:id="rId1"/>
    <sheet name="MD lineli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B12" i="1"/>
</calcChain>
</file>

<file path=xl/sharedStrings.xml><?xml version="1.0" encoding="utf-8"?>
<sst xmlns="http://schemas.openxmlformats.org/spreadsheetml/2006/main" count="82" uniqueCount="58">
  <si>
    <t>Weekly Maternal Death</t>
  </si>
  <si>
    <t>Maternal Death Cumulative</t>
  </si>
  <si>
    <t>Central</t>
  </si>
  <si>
    <t>Copperbelt</t>
  </si>
  <si>
    <t>Eastern</t>
  </si>
  <si>
    <t>Lusaka</t>
  </si>
  <si>
    <t>Luapula</t>
  </si>
  <si>
    <t>Muchinga</t>
  </si>
  <si>
    <t>Northern</t>
  </si>
  <si>
    <t>North Western</t>
  </si>
  <si>
    <t>Southern</t>
  </si>
  <si>
    <t>Western</t>
  </si>
  <si>
    <t>Total</t>
  </si>
  <si>
    <t>Province</t>
  </si>
  <si>
    <t>Case_ID</t>
  </si>
  <si>
    <t>Date_of_Death</t>
  </si>
  <si>
    <t>Date of Notification</t>
  </si>
  <si>
    <t>Age</t>
  </si>
  <si>
    <t>Primary Cause of Death</t>
  </si>
  <si>
    <t>Short Name</t>
  </si>
  <si>
    <t>SUSPECTED ANAESTHETIC DRUG REACTION</t>
  </si>
  <si>
    <t>Unanticipated complications</t>
  </si>
  <si>
    <t>PERIPARTUM CARDIOMYOPATHY WITH CARDIORENAL SYNDROME</t>
  </si>
  <si>
    <t>Non-obstetric complications</t>
  </si>
  <si>
    <t>SEPTIC SHOCK</t>
  </si>
  <si>
    <t>Hypertensive disorder</t>
  </si>
  <si>
    <t>Hypovolemic shock</t>
  </si>
  <si>
    <t>Obstetric haemorrhage</t>
  </si>
  <si>
    <t>overwhelming sepsis</t>
  </si>
  <si>
    <t>Pregnancy-related infection</t>
  </si>
  <si>
    <t>hypovoleamic shock</t>
  </si>
  <si>
    <t>SEVERE PNUEMONIA</t>
  </si>
  <si>
    <t>MODS</t>
  </si>
  <si>
    <t>LUSAKA</t>
  </si>
  <si>
    <t>SUSPECTED RESPIRATORY DISTRESS SYNDROM</t>
  </si>
  <si>
    <t>Hypoxic brain injury due to high spinal anaesthesia complication.</t>
  </si>
  <si>
    <t>PPH SECONDARY TO CERVICAL TEAR IN ECLAMPSIA</t>
  </si>
  <si>
    <t>unknown</t>
  </si>
  <si>
    <t>8/15/2024</t>
  </si>
  <si>
    <t>Advanced HIV Disease</t>
  </si>
  <si>
    <t>MD1</t>
  </si>
  <si>
    <t>MD2</t>
  </si>
  <si>
    <t>MD3</t>
  </si>
  <si>
    <t>MD4</t>
  </si>
  <si>
    <t>MD5</t>
  </si>
  <si>
    <t>MD6</t>
  </si>
  <si>
    <t>MD7</t>
  </si>
  <si>
    <t>MD8</t>
  </si>
  <si>
    <t>MD9</t>
  </si>
  <si>
    <t>MD10</t>
  </si>
  <si>
    <t>MD11</t>
  </si>
  <si>
    <t>MD12</t>
  </si>
  <si>
    <t>MD13</t>
  </si>
  <si>
    <t>MD14</t>
  </si>
  <si>
    <t>MD15</t>
  </si>
  <si>
    <t>Obstetric hemorrhage</t>
  </si>
  <si>
    <t>Non-Obstetric complications</t>
  </si>
  <si>
    <t>Non-obstetric complication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</si>
</sst>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9"/>
      <color theme="1"/>
      <name val="Aptos Narrow"/>
      <family val="2"/>
      <scheme val="minor"/>
    </font>
    <font>
      <sz val="9"/>
      <name val="Calibri"/>
      <family val="2"/>
    </font>
    <font>
      <sz val="9"/>
      <color rgb="FF000000"/>
      <name val="Calibri"/>
      <family val="2"/>
    </font>
    <font>
      <sz val="9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ptos Narrow"/>
      <scheme val="minor"/>
    </font>
    <font>
      <b/>
      <sz val="9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3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14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 wrapText="1"/>
    </xf>
    <xf numFmtId="14" fontId="7" fillId="2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 applyAlignment="1">
      <alignment horizontal="center"/>
    </xf>
    <xf numFmtId="0" fontId="11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5" xfId="1" xr:uid="{64122C1B-B224-43B8-A484-084DA043E59D}"/>
  </cellStyles>
  <dxfs count="8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fgColor rgb="FFFFFF99"/>
        </patternFill>
      </fill>
    </dxf>
    <dxf>
      <fill>
        <patternFill>
          <bgColor rgb="FFFFFF66"/>
        </patternFill>
      </fill>
    </dxf>
    <dxf>
      <fill>
        <patternFill patternType="solid">
          <f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679D-7F87-41F1-9ACF-D8E66F1899AD}">
  <dimension ref="A1:C13"/>
  <sheetViews>
    <sheetView workbookViewId="0">
      <selection activeCell="C27" sqref="C27"/>
    </sheetView>
  </sheetViews>
  <sheetFormatPr baseColWidth="10" defaultColWidth="11.5" defaultRowHeight="15" x14ac:dyDescent="0.2"/>
  <cols>
    <col min="1" max="1" width="12.33203125" bestFit="1" customWidth="1"/>
    <col min="2" max="2" width="18.83203125" bestFit="1" customWidth="1"/>
    <col min="3" max="3" width="22.1640625" bestFit="1" customWidth="1"/>
    <col min="4" max="4" width="14.83203125" customWidth="1"/>
    <col min="5" max="5" width="19" customWidth="1"/>
  </cols>
  <sheetData>
    <row r="1" spans="1:3" x14ac:dyDescent="0.2">
      <c r="A1" s="19" t="s">
        <v>13</v>
      </c>
      <c r="B1" s="20" t="s">
        <v>0</v>
      </c>
      <c r="C1" s="20" t="s">
        <v>1</v>
      </c>
    </row>
    <row r="2" spans="1:3" x14ac:dyDescent="0.2">
      <c r="A2" s="1" t="s">
        <v>2</v>
      </c>
      <c r="B2" s="1">
        <v>3</v>
      </c>
      <c r="C2" s="1">
        <v>36</v>
      </c>
    </row>
    <row r="3" spans="1:3" x14ac:dyDescent="0.2">
      <c r="A3" s="1" t="s">
        <v>3</v>
      </c>
      <c r="B3" s="1">
        <v>1</v>
      </c>
      <c r="C3" s="1">
        <v>58</v>
      </c>
    </row>
    <row r="4" spans="1:3" x14ac:dyDescent="0.2">
      <c r="A4" s="1" t="s">
        <v>4</v>
      </c>
      <c r="B4" s="1">
        <v>1</v>
      </c>
      <c r="C4" s="1">
        <v>29</v>
      </c>
    </row>
    <row r="5" spans="1:3" x14ac:dyDescent="0.2">
      <c r="A5" s="1" t="s">
        <v>5</v>
      </c>
      <c r="B5" s="1">
        <v>4</v>
      </c>
      <c r="C5" s="1">
        <v>88</v>
      </c>
    </row>
    <row r="6" spans="1:3" x14ac:dyDescent="0.2">
      <c r="A6" s="1" t="s">
        <v>6</v>
      </c>
      <c r="B6" s="1">
        <v>1</v>
      </c>
      <c r="C6" s="1">
        <v>20</v>
      </c>
    </row>
    <row r="7" spans="1:3" x14ac:dyDescent="0.2">
      <c r="A7" s="1" t="s">
        <v>7</v>
      </c>
      <c r="B7" s="1">
        <v>2</v>
      </c>
      <c r="C7" s="1">
        <v>21</v>
      </c>
    </row>
    <row r="8" spans="1:3" x14ac:dyDescent="0.2">
      <c r="A8" s="1" t="s">
        <v>8</v>
      </c>
      <c r="B8" s="1"/>
      <c r="C8" s="1">
        <v>38</v>
      </c>
    </row>
    <row r="9" spans="1:3" x14ac:dyDescent="0.2">
      <c r="A9" s="1" t="s">
        <v>9</v>
      </c>
      <c r="B9" s="1">
        <v>1</v>
      </c>
      <c r="C9" s="1">
        <v>30</v>
      </c>
    </row>
    <row r="10" spans="1:3" x14ac:dyDescent="0.2">
      <c r="A10" s="1" t="s">
        <v>10</v>
      </c>
      <c r="B10" s="1">
        <v>1</v>
      </c>
      <c r="C10" s="1">
        <v>47</v>
      </c>
    </row>
    <row r="11" spans="1:3" x14ac:dyDescent="0.2">
      <c r="A11" s="1" t="s">
        <v>11</v>
      </c>
      <c r="B11" s="1">
        <v>1</v>
      </c>
      <c r="C11" s="1">
        <v>28</v>
      </c>
    </row>
    <row r="12" spans="1:3" x14ac:dyDescent="0.2">
      <c r="A12" s="2" t="s">
        <v>12</v>
      </c>
      <c r="B12">
        <f>SUM(B2:B11)</f>
        <v>15</v>
      </c>
      <c r="C12">
        <f>SUM(C2:C11)</f>
        <v>395</v>
      </c>
    </row>
    <row r="13" spans="1:3" x14ac:dyDescent="0.2">
      <c r="C13" s="3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C445-756D-4E10-A21F-3DE91BACC42C}">
  <dimension ref="A1:G16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1" max="5" width="12" customWidth="1"/>
    <col min="6" max="6" width="17.83203125" bestFit="1" customWidth="1"/>
    <col min="7" max="7" width="22.33203125" customWidth="1"/>
  </cols>
  <sheetData>
    <row r="1" spans="1:7" ht="30" x14ac:dyDescent="0.2">
      <c r="A1" s="21" t="s">
        <v>13</v>
      </c>
      <c r="B1" s="21" t="s">
        <v>14</v>
      </c>
      <c r="C1" s="21" t="s">
        <v>15</v>
      </c>
      <c r="D1" s="21" t="s">
        <v>16</v>
      </c>
      <c r="E1" s="21" t="s">
        <v>17</v>
      </c>
      <c r="F1" s="22" t="s">
        <v>18</v>
      </c>
      <c r="G1" s="21" t="s">
        <v>19</v>
      </c>
    </row>
    <row r="2" spans="1:7" ht="26" x14ac:dyDescent="0.2">
      <c r="A2" s="4" t="s">
        <v>3</v>
      </c>
      <c r="B2" s="5" t="s">
        <v>40</v>
      </c>
      <c r="C2" s="6">
        <v>45515</v>
      </c>
      <c r="D2" s="7">
        <v>45523</v>
      </c>
      <c r="E2" s="5">
        <v>25</v>
      </c>
      <c r="F2" s="8" t="s">
        <v>20</v>
      </c>
      <c r="G2" s="9" t="s">
        <v>21</v>
      </c>
    </row>
    <row r="3" spans="1:7" ht="26" x14ac:dyDescent="0.2">
      <c r="A3" s="4" t="s">
        <v>3</v>
      </c>
      <c r="B3" s="5" t="s">
        <v>41</v>
      </c>
      <c r="C3" s="6">
        <v>45518</v>
      </c>
      <c r="D3" s="7">
        <v>45523</v>
      </c>
      <c r="E3" s="5">
        <v>31</v>
      </c>
      <c r="F3" s="8" t="s">
        <v>20</v>
      </c>
      <c r="G3" s="9" t="s">
        <v>21</v>
      </c>
    </row>
    <row r="4" spans="1:7" ht="39" x14ac:dyDescent="0.2">
      <c r="A4" s="4" t="s">
        <v>3</v>
      </c>
      <c r="B4" s="5" t="s">
        <v>42</v>
      </c>
      <c r="C4" s="6"/>
      <c r="D4" s="7">
        <v>45523</v>
      </c>
      <c r="E4" s="5">
        <v>21</v>
      </c>
      <c r="F4" s="8" t="s">
        <v>22</v>
      </c>
      <c r="G4" s="9" t="s">
        <v>23</v>
      </c>
    </row>
    <row r="5" spans="1:7" x14ac:dyDescent="0.2">
      <c r="A5" s="4" t="s">
        <v>3</v>
      </c>
      <c r="B5" s="5" t="s">
        <v>43</v>
      </c>
      <c r="C5" s="6">
        <v>45520</v>
      </c>
      <c r="D5" s="7">
        <v>45523</v>
      </c>
      <c r="E5" s="5">
        <v>27</v>
      </c>
      <c r="F5" s="4" t="s">
        <v>24</v>
      </c>
      <c r="G5" s="9" t="s">
        <v>25</v>
      </c>
    </row>
    <row r="6" spans="1:7" x14ac:dyDescent="0.2">
      <c r="A6" s="9" t="s">
        <v>11</v>
      </c>
      <c r="B6" s="5" t="s">
        <v>44</v>
      </c>
      <c r="C6" s="10">
        <v>45420</v>
      </c>
      <c r="D6" s="7">
        <v>45523</v>
      </c>
      <c r="E6" s="11">
        <v>22</v>
      </c>
      <c r="F6" s="9" t="s">
        <v>26</v>
      </c>
      <c r="G6" s="9" t="s">
        <v>55</v>
      </c>
    </row>
    <row r="7" spans="1:7" x14ac:dyDescent="0.2">
      <c r="A7" s="9" t="s">
        <v>11</v>
      </c>
      <c r="B7" s="5" t="s">
        <v>45</v>
      </c>
      <c r="C7" s="10">
        <v>45359</v>
      </c>
      <c r="D7" s="7">
        <v>45523</v>
      </c>
      <c r="E7" s="11">
        <v>24</v>
      </c>
      <c r="F7" s="9" t="s">
        <v>26</v>
      </c>
      <c r="G7" s="9" t="s">
        <v>27</v>
      </c>
    </row>
    <row r="8" spans="1:7" x14ac:dyDescent="0.2">
      <c r="A8" s="12" t="s">
        <v>7</v>
      </c>
      <c r="B8" s="5" t="s">
        <v>46</v>
      </c>
      <c r="C8" s="13">
        <v>45520</v>
      </c>
      <c r="D8" s="7">
        <v>45523</v>
      </c>
      <c r="E8" s="14">
        <v>26</v>
      </c>
      <c r="F8" s="12" t="s">
        <v>28</v>
      </c>
      <c r="G8" s="9" t="s">
        <v>29</v>
      </c>
    </row>
    <row r="9" spans="1:7" x14ac:dyDescent="0.2">
      <c r="A9" s="9" t="s">
        <v>7</v>
      </c>
      <c r="B9" s="5" t="s">
        <v>47</v>
      </c>
      <c r="C9" s="10">
        <v>45520</v>
      </c>
      <c r="D9" s="7">
        <v>45523</v>
      </c>
      <c r="E9" s="11">
        <v>37</v>
      </c>
      <c r="F9" s="9" t="s">
        <v>30</v>
      </c>
      <c r="G9" s="9" t="s">
        <v>27</v>
      </c>
    </row>
    <row r="10" spans="1:7" x14ac:dyDescent="0.2">
      <c r="A10" s="4" t="s">
        <v>9</v>
      </c>
      <c r="B10" s="5" t="s">
        <v>48</v>
      </c>
      <c r="C10" s="6">
        <v>45517</v>
      </c>
      <c r="D10" s="7">
        <v>45523</v>
      </c>
      <c r="E10" s="5">
        <v>18</v>
      </c>
      <c r="F10" s="4" t="s">
        <v>31</v>
      </c>
      <c r="G10" s="9" t="s">
        <v>56</v>
      </c>
    </row>
    <row r="11" spans="1:7" x14ac:dyDescent="0.2">
      <c r="A11" s="9" t="s">
        <v>8</v>
      </c>
      <c r="B11" s="5" t="s">
        <v>49</v>
      </c>
      <c r="C11" s="10">
        <v>45515</v>
      </c>
      <c r="D11" s="7">
        <v>45523</v>
      </c>
      <c r="E11" s="11">
        <v>36</v>
      </c>
      <c r="F11" s="9" t="s">
        <v>32</v>
      </c>
      <c r="G11" s="9" t="s">
        <v>27</v>
      </c>
    </row>
    <row r="12" spans="1:7" ht="42" x14ac:dyDescent="0.2">
      <c r="A12" s="9" t="s">
        <v>33</v>
      </c>
      <c r="B12" s="5" t="s">
        <v>50</v>
      </c>
      <c r="C12" s="10">
        <v>45517</v>
      </c>
      <c r="D12" s="7">
        <v>45523</v>
      </c>
      <c r="E12" s="11">
        <v>17</v>
      </c>
      <c r="F12" s="15" t="s">
        <v>34</v>
      </c>
      <c r="G12" s="9" t="s">
        <v>57</v>
      </c>
    </row>
    <row r="13" spans="1:7" ht="39" x14ac:dyDescent="0.2">
      <c r="A13" s="4" t="s">
        <v>5</v>
      </c>
      <c r="B13" s="5" t="s">
        <v>51</v>
      </c>
      <c r="C13" s="6">
        <v>45520</v>
      </c>
      <c r="D13" s="7">
        <v>45523</v>
      </c>
      <c r="E13" s="5">
        <v>38</v>
      </c>
      <c r="F13" s="8" t="s">
        <v>35</v>
      </c>
      <c r="G13" s="9" t="s">
        <v>21</v>
      </c>
    </row>
    <row r="14" spans="1:7" ht="39" x14ac:dyDescent="0.2">
      <c r="A14" s="4" t="s">
        <v>5</v>
      </c>
      <c r="B14" s="5" t="s">
        <v>52</v>
      </c>
      <c r="C14" s="6">
        <v>45519</v>
      </c>
      <c r="D14" s="7">
        <v>45524</v>
      </c>
      <c r="E14" s="5">
        <v>16</v>
      </c>
      <c r="F14" s="8" t="s">
        <v>36</v>
      </c>
      <c r="G14" s="9" t="s">
        <v>27</v>
      </c>
    </row>
    <row r="15" spans="1:7" x14ac:dyDescent="0.2">
      <c r="A15" s="16" t="s">
        <v>10</v>
      </c>
      <c r="B15" s="5" t="s">
        <v>53</v>
      </c>
      <c r="C15" s="17">
        <v>45604</v>
      </c>
      <c r="D15" s="7">
        <v>45524</v>
      </c>
      <c r="E15" s="18">
        <v>24</v>
      </c>
      <c r="F15" s="18" t="s">
        <v>37</v>
      </c>
      <c r="G15" s="18" t="s">
        <v>25</v>
      </c>
    </row>
    <row r="16" spans="1:7" x14ac:dyDescent="0.2">
      <c r="A16" s="16" t="s">
        <v>10</v>
      </c>
      <c r="B16" s="5" t="s">
        <v>54</v>
      </c>
      <c r="C16" s="18" t="s">
        <v>38</v>
      </c>
      <c r="D16" s="7">
        <v>45524</v>
      </c>
      <c r="E16" s="18">
        <v>24</v>
      </c>
      <c r="F16" s="18" t="s">
        <v>39</v>
      </c>
      <c r="G16" s="18" t="s">
        <v>23</v>
      </c>
    </row>
  </sheetData>
  <sheetProtection selectLockedCells="1" selectUnlockedCells="1"/>
  <phoneticPr fontId="8" type="noConversion"/>
  <conditionalFormatting sqref="A5 C5 E5:F5 A11 C11 E11:G11">
    <cfRule type="containsBlanks" dxfId="7" priority="10">
      <formula>LEN(TRIM(A5))=0</formula>
    </cfRule>
  </conditionalFormatting>
  <conditionalFormatting sqref="A6:A7 C6:C7 E6:F7 A12:A13 C12:C13 E12:F13">
    <cfRule type="containsBlanks" dxfId="6" priority="6">
      <formula>LEN(TRIM(A6))=0</formula>
    </cfRule>
  </conditionalFormatting>
  <conditionalFormatting sqref="A6:A7">
    <cfRule type="containsBlanks" dxfId="5" priority="3">
      <formula>LEN(TRIM(A6))=0</formula>
    </cfRule>
  </conditionalFormatting>
  <conditionalFormatting sqref="A8:A10">
    <cfRule type="containsBlanks" dxfId="4" priority="5">
      <formula>LEN(TRIM(A8))=0</formula>
    </cfRule>
  </conditionalFormatting>
  <conditionalFormatting sqref="A12:A13">
    <cfRule type="containsBlanks" dxfId="3" priority="7">
      <formula>LEN(TRIM(A12))=0</formula>
    </cfRule>
  </conditionalFormatting>
  <conditionalFormatting sqref="B2 B4 B6 B8 B10 B12 B14 B16">
    <cfRule type="containsBlanks" dxfId="2" priority="9">
      <formula>LEN(TRIM(B2))=0</formula>
    </cfRule>
  </conditionalFormatting>
  <conditionalFormatting sqref="G2:G10">
    <cfRule type="containsBlanks" dxfId="1" priority="2">
      <formula>LEN(TRIM(G2))=0</formula>
    </cfRule>
  </conditionalFormatting>
  <conditionalFormatting sqref="G12:G14">
    <cfRule type="containsBlanks" dxfId="0" priority="1">
      <formula>LEN(TRIM(G12))=0</formula>
    </cfRule>
  </conditionalFormatting>
  <dataValidations count="12">
    <dataValidation allowBlank="1" showInputMessage="1" showErrorMessage="1" promptTitle="Case ID" prompt="The identification of the case (Death) to be the serial number in the reporting year and includes the Name Initials e.g. 011 MS" sqref="B1" xr:uid="{2F53B1AB-C8FD-4507-AB83-48D16E5BABA7}"/>
    <dataValidation allowBlank="1" showInputMessage="1" showErrorMessage="1" promptTitle="Date of Death" prompt="This is the date at which the woman died and to be written in the format starting with the day, month and year (dd/mm/yyyy)" sqref="C1" xr:uid="{43FC5709-1C7E-4941-B8A1-E35ABCA548DB}"/>
    <dataValidation allowBlank="1" showInputMessage="1" showErrorMessage="1" promptTitle="Date of Notification" prompt="This is the date on which notification / reporting was done and should be entered the format starting with the day, month and year (dd/mm/yyyy)" sqref="D1" xr:uid="{989659F1-8C4A-44E4-8213-4E3ED9B86403}"/>
    <dataValidation allowBlank="1" showInputMessage="1" showErrorMessage="1" promptTitle="Age" prompt="Enter the age of the deceased as a whole number" sqref="E1" xr:uid="{E5922CDC-6C03-434C-89BB-9F50431C2A65}"/>
    <dataValidation allowBlank="1" showInputMessage="1" showErrorMessage="1" promptTitle="Primary cause of death" prompt="Enter the Primary cause of death" sqref="F1" xr:uid="{58DADD3B-DD99-4CB8-A0A2-AB1B39602852}"/>
    <dataValidation allowBlank="1" showInputMessage="1" showErrorMessage="1" promptTitle="Short Name for the category" prompt="Pick or select from the list in the pop down menu." sqref="G1" xr:uid="{098EFEA3-6E89-483E-AEC3-C79089A19AE6}"/>
    <dataValidation type="whole" allowBlank="1" showInputMessage="1" showErrorMessage="1" errorTitle="Check" error="Ensure you write a number and not a text" promptTitle="Age" prompt="Age of the deceased" sqref="E9 E6:E7" xr:uid="{23B6561C-AA8F-465F-9444-BE80AF9A919C}">
      <formula1>10</formula1>
      <formula2>50</formula2>
    </dataValidation>
    <dataValidation type="date" allowBlank="1" showInputMessage="1" showErrorMessage="1" errorTitle="Check Date format" error="Date format _x000a_dd/mm/yyyy" promptTitle="Validation check" prompt="Ensure to enter a date format in the correct way" sqref="C9 C6:C7" xr:uid="{631027FD-2967-4D8B-AD12-2DEFF48D28C2}">
      <formula1>45292</formula1>
      <formula2>47848</formula2>
    </dataValidation>
    <dataValidation type="decimal" allowBlank="1" showInputMessage="1" showErrorMessage="1" prompt="Age - Age of the deceased" sqref="E2:E5 E8 E10:E14" xr:uid="{3750200E-54B8-486E-90CC-842440F14054}">
      <formula1>10</formula1>
      <formula2>50</formula2>
    </dataValidation>
    <dataValidation type="date" allowBlank="1" showInputMessage="1" showErrorMessage="1" prompt="Validation check - Ensure to enter a date format in the correct way" sqref="D2:D16 C2:C5 C10:C14 C8" xr:uid="{60FD1B0B-49D7-4B59-B672-FB2C7B7A6EC0}">
      <formula1>45292</formula1>
      <formula2>47848</formula2>
    </dataValidation>
    <dataValidation type="list" showInputMessage="1" showErrorMessage="1" sqref="G2:G4" xr:uid="{FF491C1B-398C-424E-983C-690543F24868}">
      <formula1>#REF!</formula1>
    </dataValidation>
    <dataValidation showDropDown="1" showInputMessage="1" showErrorMessage="1" sqref="G5:G16" xr:uid="{3AA224FF-2988-4719-8869-AFED19BABD1B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B71C273E20C4095B634201CDD2539" ma:contentTypeVersion="24" ma:contentTypeDescription="Create a new document." ma:contentTypeScope="" ma:versionID="3ae4ebeb728a8930e98b8b371e53dd27">
  <xsd:schema xmlns:xsd="http://www.w3.org/2001/XMLSchema" xmlns:xs="http://www.w3.org/2001/XMLSchema" xmlns:p="http://schemas.microsoft.com/office/2006/metadata/properties" xmlns:ns1="http://schemas.microsoft.com/sharepoint/v3" xmlns:ns2="ca299543-0ab4-429f-8927-bf8e8716a0c2" xmlns:ns3="d27c8f07-e503-4122-80c5-e52ee84151d4" targetNamespace="http://schemas.microsoft.com/office/2006/metadata/properties" ma:root="true" ma:fieldsID="09eaff43ac08377f6444704b7074fdec" ns1:_="" ns2:_="" ns3:_="">
    <xsd:import namespace="http://schemas.microsoft.com/sharepoint/v3"/>
    <xsd:import namespace="ca299543-0ab4-429f-8927-bf8e8716a0c2"/>
    <xsd:import namespace="d27c8f07-e503-4122-80c5-e52ee8415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mments" minOccurs="0"/>
                <xsd:element ref="ns2:MediaServiceObjectDetectorVersions" minOccurs="0"/>
                <xsd:element ref="ns2:MediaServiceSearchProperties" minOccurs="0"/>
                <xsd:element ref="ns2:TranslatedLang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99543-0ab4-429f-8927-bf8e8716a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2f55c54-333a-4ed3-a999-6f0836af5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24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27" nillable="true" ma:displayName="Translated Language" ma:internalName="TranslatedLang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c8f07-e503-4122-80c5-e52ee84151d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94d5955-93c2-4535-8179-a5e838035f88}" ma:internalName="TaxCatchAll" ma:showField="CatchAllData" ma:web="d27c8f07-e503-4122-80c5-e52ee8415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nslatedLang xmlns="ca299543-0ab4-429f-8927-bf8e8716a0c2" xsi:nil="true"/>
    <lcf76f155ced4ddcb4097134ff3c332f xmlns="ca299543-0ab4-429f-8927-bf8e8716a0c2">
      <Terms xmlns="http://schemas.microsoft.com/office/infopath/2007/PartnerControls"/>
    </lcf76f155ced4ddcb4097134ff3c332f>
    <Comments xmlns="ca299543-0ab4-429f-8927-bf8e8716a0c2" xsi:nil="true"/>
    <TaxCatchAll xmlns="d27c8f07-e503-4122-80c5-e52ee84151d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DBE489-F44C-4491-8306-79B2F6264F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299543-0ab4-429f-8927-bf8e8716a0c2"/>
    <ds:schemaRef ds:uri="d27c8f07-e503-4122-80c5-e52ee84151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D5FEDB-6605-4AC4-B353-0D4CBEBD19A9}">
  <ds:schemaRefs>
    <ds:schemaRef ds:uri="http://schemas.microsoft.com/office/2006/metadata/properties"/>
    <ds:schemaRef ds:uri="http://schemas.microsoft.com/office/infopath/2007/PartnerControls"/>
    <ds:schemaRef ds:uri="ca299543-0ab4-429f-8927-bf8e8716a0c2"/>
    <ds:schemaRef ds:uri="d27c8f07-e503-4122-80c5-e52ee84151d4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3A0EA334-10FF-46B3-A219-83284D6C23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MD summary</vt:lpstr>
      <vt:lpstr>MD linelist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Kim</dc:creator>
  <cp:lastModifiedBy>Microsoft Office User</cp:lastModifiedBy>
  <dcterms:created xsi:type="dcterms:W3CDTF">2024-10-22T15:40:35Z</dcterms:created>
  <dcterms:modified xsi:type="dcterms:W3CDTF">2025-12-25T09:27:41Z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2024-10-22T15:43:19Z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762de5b4-45da-4234-a5e1-ee3e978f8a57</vt:lpwstr>
  </property>
  <property fmtid="{D5CDD505-2E9C-101B-9397-08002B2CF9AE}" pid="7" name="MSIP_Label_defa4170-0d19-0005-0004-bc88714345d2_ActionId">
    <vt:lpwstr>fa2ee23c-6cee-4da9-8887-d89d2dc14841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0x010100173B71C273E20C4095B634201CDD2539</vt:lpwstr>
  </property>
</Properties>
</file>